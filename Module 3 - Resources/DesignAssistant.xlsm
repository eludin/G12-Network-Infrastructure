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4370" windowHeight="7530" activeTab="1"/>
  </bookViews>
  <sheets>
    <sheet name="Floor Space Requirements" sheetId="1" r:id="rId1"/>
    <sheet name="Network Bandwidth+Balancing" sheetId="3" r:id="rId2"/>
  </sheets>
  <calcPr calcId="145621"/>
</workbook>
</file>

<file path=xl/calcChain.xml><?xml version="1.0" encoding="utf-8"?>
<calcChain xmlns="http://schemas.openxmlformats.org/spreadsheetml/2006/main">
  <c r="I22" i="3" l="1"/>
  <c r="F22" i="3"/>
  <c r="K26" i="3"/>
  <c r="M26" i="3" s="1"/>
  <c r="B16" i="3" l="1"/>
  <c r="B15" i="3"/>
  <c r="B14" i="3"/>
  <c r="E14" i="3" s="1"/>
  <c r="B13" i="3"/>
  <c r="C13" i="3" s="1"/>
  <c r="B12" i="3"/>
  <c r="F12" i="3" s="1"/>
  <c r="B11" i="3"/>
  <c r="D11" i="3" s="1"/>
  <c r="B10" i="3"/>
  <c r="D10" i="3" s="1"/>
  <c r="B9" i="3"/>
  <c r="D9" i="3" s="1"/>
  <c r="B8" i="3"/>
  <c r="C8" i="3" s="1"/>
  <c r="B7" i="3"/>
  <c r="E7" i="3" s="1"/>
  <c r="B6" i="3"/>
  <c r="A16" i="3"/>
  <c r="A15" i="3"/>
  <c r="A14" i="3"/>
  <c r="A13" i="3"/>
  <c r="A12" i="3"/>
  <c r="A11" i="3"/>
  <c r="A10" i="3"/>
  <c r="A9" i="3"/>
  <c r="A8" i="3"/>
  <c r="A7" i="3"/>
  <c r="A6" i="3"/>
  <c r="A17" i="1"/>
  <c r="D14" i="1"/>
  <c r="E15" i="3" l="1"/>
  <c r="C15" i="3"/>
  <c r="K16" i="3"/>
  <c r="C6" i="3"/>
  <c r="C14" i="3"/>
  <c r="D6" i="3"/>
  <c r="E16" i="3"/>
  <c r="E11" i="3"/>
  <c r="E10" i="3"/>
  <c r="E12" i="3"/>
  <c r="G12" i="3" s="1"/>
  <c r="H12" i="3" s="1"/>
  <c r="D13" i="3"/>
  <c r="F6" i="3"/>
  <c r="D12" i="3"/>
  <c r="D14" i="3"/>
  <c r="F13" i="3"/>
  <c r="E9" i="3"/>
  <c r="K11" i="3"/>
  <c r="E8" i="3"/>
  <c r="F14" i="3"/>
  <c r="O13" i="3"/>
  <c r="C7" i="3"/>
  <c r="N9" i="3"/>
  <c r="F16" i="3"/>
  <c r="F9" i="3"/>
  <c r="M7" i="3"/>
  <c r="M15" i="3"/>
  <c r="N12" i="3"/>
  <c r="O9" i="3"/>
  <c r="K12" i="3"/>
  <c r="M11" i="3"/>
  <c r="L15" i="3"/>
  <c r="O6" i="3"/>
  <c r="N10" i="3"/>
  <c r="M14" i="3"/>
  <c r="O16" i="3"/>
  <c r="L7" i="3"/>
  <c r="K9" i="3"/>
  <c r="L11" i="3"/>
  <c r="L8" i="3"/>
  <c r="C11" i="3"/>
  <c r="D8" i="3"/>
  <c r="D16" i="3"/>
  <c r="E13" i="3"/>
  <c r="F10" i="3"/>
  <c r="M8" i="3"/>
  <c r="M16" i="3"/>
  <c r="N13" i="3"/>
  <c r="O10" i="3"/>
  <c r="L14" i="3"/>
  <c r="N8" i="3"/>
  <c r="K13" i="3"/>
  <c r="O14" i="3"/>
  <c r="K6" i="3"/>
  <c r="L16" i="3"/>
  <c r="C16" i="3"/>
  <c r="F15" i="3"/>
  <c r="G15" i="3" s="1"/>
  <c r="M13" i="3"/>
  <c r="O15" i="3"/>
  <c r="K7" i="3"/>
  <c r="K15" i="3"/>
  <c r="L6" i="3"/>
  <c r="C9" i="3"/>
  <c r="F8" i="3"/>
  <c r="M6" i="3"/>
  <c r="O8" i="3"/>
  <c r="K8" i="3"/>
  <c r="C10" i="3"/>
  <c r="D15" i="3"/>
  <c r="K10" i="3"/>
  <c r="L12" i="3"/>
  <c r="L9" i="3"/>
  <c r="C12" i="3"/>
  <c r="E6" i="3"/>
  <c r="F11" i="3"/>
  <c r="M9" i="3"/>
  <c r="N6" i="3"/>
  <c r="N14" i="3"/>
  <c r="O11" i="3"/>
  <c r="N16" i="3"/>
  <c r="M12" i="3"/>
  <c r="K14" i="3"/>
  <c r="F7" i="3"/>
  <c r="O7" i="3"/>
  <c r="N11" i="3"/>
  <c r="D7" i="3"/>
  <c r="L13" i="3"/>
  <c r="L10" i="3"/>
  <c r="M10" i="3"/>
  <c r="N7" i="3"/>
  <c r="N15" i="3"/>
  <c r="O12" i="3"/>
  <c r="D6" i="1"/>
  <c r="D7" i="1"/>
  <c r="D8" i="1"/>
  <c r="D9" i="1"/>
  <c r="D10" i="1"/>
  <c r="D11" i="1"/>
  <c r="D12" i="1"/>
  <c r="D13" i="1"/>
  <c r="D15" i="1"/>
  <c r="D5" i="1"/>
  <c r="G9" i="3" l="1"/>
  <c r="H9" i="3" s="1"/>
  <c r="G8" i="3"/>
  <c r="H8" i="3" s="1"/>
  <c r="E18" i="3"/>
  <c r="J12" i="3"/>
  <c r="G16" i="3"/>
  <c r="I16" i="3" s="1"/>
  <c r="C18" i="3"/>
  <c r="K18" i="3"/>
  <c r="O18" i="3"/>
  <c r="G14" i="3"/>
  <c r="J14" i="3" s="1"/>
  <c r="I12" i="3"/>
  <c r="N18" i="3"/>
  <c r="M18" i="3"/>
  <c r="L18" i="3"/>
  <c r="I15" i="3"/>
  <c r="H15" i="3"/>
  <c r="G7" i="3"/>
  <c r="H7" i="3" s="1"/>
  <c r="F18" i="3"/>
  <c r="G6" i="3"/>
  <c r="J6" i="3" s="1"/>
  <c r="J15" i="3"/>
  <c r="G10" i="3"/>
  <c r="D18" i="3"/>
  <c r="G13" i="3"/>
  <c r="I13" i="3" s="1"/>
  <c r="G11" i="3"/>
  <c r="I11" i="3" s="1"/>
  <c r="D17" i="1"/>
  <c r="D18" i="1" s="1"/>
  <c r="I9" i="3" l="1"/>
  <c r="Q15" i="3"/>
  <c r="Q12" i="3"/>
  <c r="J9" i="3"/>
  <c r="H14" i="3"/>
  <c r="I14" i="3"/>
  <c r="I8" i="3"/>
  <c r="J8" i="3"/>
  <c r="H16" i="3"/>
  <c r="J16" i="3"/>
  <c r="I6" i="3"/>
  <c r="H6" i="3"/>
  <c r="I7" i="3"/>
  <c r="H10" i="3"/>
  <c r="I10" i="3"/>
  <c r="J11" i="3"/>
  <c r="J7" i="3"/>
  <c r="H13" i="3"/>
  <c r="J13" i="3"/>
  <c r="Q13" i="3" s="1"/>
  <c r="J10" i="3"/>
  <c r="H11" i="3"/>
  <c r="G18" i="3"/>
  <c r="D19" i="1"/>
  <c r="C22" i="3" l="1"/>
  <c r="Q16" i="3"/>
  <c r="Q8" i="3"/>
  <c r="Q7" i="3"/>
  <c r="Q14" i="3"/>
  <c r="Q11" i="3"/>
  <c r="Q10" i="3"/>
  <c r="Q9" i="3"/>
  <c r="Q6" i="3"/>
  <c r="I18" i="3"/>
  <c r="H18" i="3"/>
  <c r="J18" i="3"/>
  <c r="L26" i="3" l="1"/>
  <c r="K27" i="3" s="1"/>
  <c r="L27" i="3" l="1"/>
  <c r="M27" i="3"/>
  <c r="K28" i="3" l="1"/>
  <c r="L28" i="3" s="1"/>
  <c r="M28" i="3" l="1"/>
  <c r="K29" i="3" s="1"/>
  <c r="L29" i="3" s="1"/>
  <c r="M29" i="3" l="1"/>
  <c r="K30" i="3" s="1"/>
  <c r="L30" i="3" l="1"/>
  <c r="M30" i="3"/>
  <c r="K31" i="3" l="1"/>
  <c r="L31" i="3" l="1"/>
  <c r="M31" i="3"/>
  <c r="K32" i="3" l="1"/>
  <c r="L32" i="3" l="1"/>
  <c r="M32" i="3"/>
  <c r="K33" i="3" l="1"/>
  <c r="L33" i="3" s="1"/>
  <c r="M33" i="3" l="1"/>
  <c r="K34" i="3" s="1"/>
  <c r="L34" i="3" s="1"/>
  <c r="M34" i="3" l="1"/>
  <c r="K35" i="3" s="1"/>
  <c r="L35" i="3" l="1"/>
  <c r="M35" i="3"/>
  <c r="K36" i="3" l="1"/>
  <c r="L36" i="3" s="1"/>
  <c r="M36" i="3" l="1"/>
</calcChain>
</file>

<file path=xl/sharedStrings.xml><?xml version="1.0" encoding="utf-8"?>
<sst xmlns="http://schemas.openxmlformats.org/spreadsheetml/2006/main" count="93" uniqueCount="52">
  <si>
    <t>Area Required (m^2)</t>
  </si>
  <si>
    <t>Area/Employee (m^2)</t>
  </si>
  <si>
    <t>Total Office Area</t>
  </si>
  <si>
    <t>Employees</t>
  </si>
  <si>
    <t>Overhead (20%)</t>
  </si>
  <si>
    <t>Total Floor Space</t>
  </si>
  <si>
    <t>m^2</t>
  </si>
  <si>
    <t xml:space="preserve">Instructions:  </t>
  </si>
  <si>
    <t>This spreadsheet will then show you how much space is required for each department, which you can use when drawing your office layout.</t>
  </si>
  <si>
    <t>Executive</t>
  </si>
  <si>
    <t>HR</t>
  </si>
  <si>
    <t>Finance</t>
  </si>
  <si>
    <t>Legal</t>
  </si>
  <si>
    <t>IT</t>
  </si>
  <si>
    <t>This will help you keep the demand on your proposed network infrastructure balanced, and it will show you where you may need "extra" devices to keep things sane.</t>
  </si>
  <si>
    <t>Department</t>
  </si>
  <si>
    <t>Number of Staff</t>
  </si>
  <si>
    <t>Use this spreadsheet by entering the size and name of each department in your assigned business.  Only modify the blue cells (the spreadsheet should enforce this).</t>
  </si>
  <si>
    <t>This spreadsheet will automatically give you bandwidth requriements for each department so that you can place them within the building in a sensible way.  No input here is required.</t>
  </si>
  <si>
    <t>E-Mail</t>
  </si>
  <si>
    <t>VM Host 1</t>
  </si>
  <si>
    <t>VM Host 2</t>
  </si>
  <si>
    <t>Application Server 1</t>
  </si>
  <si>
    <t>Application Server 2</t>
  </si>
  <si>
    <t>File Server 1</t>
  </si>
  <si>
    <t>File Server 2</t>
  </si>
  <si>
    <t>File Server 3</t>
  </si>
  <si>
    <t>File Server 4</t>
  </si>
  <si>
    <t>File Server 5</t>
  </si>
  <si>
    <t>General Internet Use</t>
  </si>
  <si>
    <t>Application Bandwidth:</t>
  </si>
  <si>
    <t>Department Bandwidth</t>
  </si>
  <si>
    <t>The department bandwidth values for each of the below applications are in Megabits per second (Mb/s) and represent peak values (that is, the maximum value anticipated throughout the business day).</t>
  </si>
  <si>
    <t xml:space="preserve">Total Bandwidth Required: </t>
  </si>
  <si>
    <t>Mb/s</t>
  </si>
  <si>
    <t>Left</t>
  </si>
  <si>
    <t>Right</t>
  </si>
  <si>
    <t>Bandwidth (Mb/s)</t>
  </si>
  <si>
    <t>Group</t>
  </si>
  <si>
    <t>Highest to Lowest Users of Bandwidth</t>
  </si>
  <si>
    <t>Department 6</t>
  </si>
  <si>
    <t>Department 7</t>
  </si>
  <si>
    <t>Department 8</t>
  </si>
  <si>
    <t>Department 9</t>
  </si>
  <si>
    <t>Department 10</t>
  </si>
  <si>
    <t>Department 11</t>
  </si>
  <si>
    <t xml:space="preserve">Left Total: </t>
  </si>
  <si>
    <t xml:space="preserve">Right Total: </t>
  </si>
  <si>
    <t xml:space="preserve">   Balance Assistant</t>
  </si>
  <si>
    <t>To help you create a balanced network the following tables have been automatically generated from your data - it's not perfect, but it's usually a good start!</t>
  </si>
  <si>
    <t>Videoconferencing</t>
  </si>
  <si>
    <t>VOIP and 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</si>
</sst>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Font="1" applyBorder="1" applyAlignment="1" applyProtection="1">
      <alignment horizontal="center"/>
    </xf>
    <xf numFmtId="0" fontId="0" fillId="3" borderId="1" xfId="0" applyFill="1" applyBorder="1" applyProtection="1"/>
    <xf numFmtId="0" fontId="0" fillId="0" borderId="1" xfId="0" applyBorder="1" applyProtection="1"/>
    <xf numFmtId="0" fontId="1" fillId="0" borderId="0" xfId="0" applyFont="1" applyProtection="1"/>
    <xf numFmtId="0" fontId="1" fillId="0" borderId="1" xfId="0" applyFont="1" applyBorder="1" applyProtection="1"/>
    <xf numFmtId="0" fontId="2" fillId="3" borderId="1" xfId="0" applyFont="1" applyFill="1" applyBorder="1" applyProtection="1"/>
    <xf numFmtId="0" fontId="2" fillId="2" borderId="1" xfId="0" applyFont="1" applyFill="1" applyBorder="1" applyProtection="1">
      <protection locked="0"/>
    </xf>
    <xf numFmtId="0" fontId="2" fillId="3" borderId="1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1" fillId="0" borderId="1" xfId="0" applyFont="1" applyBorder="1" applyAlignment="1" applyProtection="1">
      <alignment horizontal="center" textRotation="90"/>
    </xf>
    <xf numFmtId="0" fontId="1" fillId="0" borderId="0" xfId="0" applyFont="1" applyFill="1" applyBorder="1" applyAlignment="1" applyProtection="1">
      <alignment horizontal="left"/>
    </xf>
    <xf numFmtId="0" fontId="0" fillId="3" borderId="1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0" xfId="0" applyFont="1" applyProtection="1"/>
    <xf numFmtId="0" fontId="1" fillId="0" borderId="2" xfId="0" applyFont="1" applyBorder="1" applyProtection="1"/>
    <xf numFmtId="0" fontId="3" fillId="0" borderId="0" xfId="0" applyFont="1" applyAlignment="1" applyProtection="1">
      <alignment horizontal="center"/>
    </xf>
    <xf numFmtId="0" fontId="4" fillId="4" borderId="0" xfId="0" applyFont="1" applyFill="1" applyProtection="1"/>
    <xf numFmtId="0" fontId="0" fillId="4" borderId="0" xfId="0" applyFill="1" applyProtection="1"/>
    <xf numFmtId="0" fontId="1" fillId="5" borderId="0" xfId="0" applyFont="1" applyFill="1" applyAlignment="1" applyProtection="1">
      <alignment horizontal="right"/>
    </xf>
    <xf numFmtId="0" fontId="1" fillId="5" borderId="0" xfId="0" applyFont="1" applyFill="1" applyProtection="1"/>
    <xf numFmtId="0" fontId="1" fillId="6" borderId="0" xfId="0" applyFont="1" applyFill="1" applyAlignment="1" applyProtection="1">
      <alignment horizontal="right"/>
    </xf>
    <xf numFmtId="0" fontId="1" fillId="6" borderId="0" xfId="0" applyFont="1" applyFill="1" applyProtection="1"/>
    <xf numFmtId="0" fontId="1" fillId="5" borderId="2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1" fillId="6" borderId="2" xfId="0" applyFont="1" applyFill="1" applyBorder="1" applyAlignment="1" applyProtection="1">
      <alignment horizontal="center"/>
    </xf>
    <xf numFmtId="0" fontId="0" fillId="6" borderId="0" xfId="0" applyFill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1" fillId="6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showGridLines="0" workbookViewId="0">
      <selection activeCell="A5" sqref="A5"/>
    </sheetView>
  </sheetViews>
  <sheetFormatPr defaultRowHeight="15" x14ac:dyDescent="0.25"/>
  <cols>
    <col min="1" max="1" width="12" style="2" customWidth="1"/>
    <col min="2" max="2" width="18.5703125" style="2" bestFit="1" customWidth="1"/>
    <col min="3" max="3" width="20.7109375" style="2" bestFit="1" customWidth="1"/>
    <col min="4" max="4" width="19.5703125" style="2" bestFit="1" customWidth="1"/>
    <col min="5" max="16384" width="9.140625" style="2"/>
  </cols>
  <sheetData>
    <row r="1" spans="1:4" x14ac:dyDescent="0.25">
      <c r="A1" s="2" t="s">
        <v>7</v>
      </c>
      <c r="B1" s="2" t="s">
        <v>17</v>
      </c>
    </row>
    <row r="2" spans="1:4" x14ac:dyDescent="0.25">
      <c r="B2" s="2" t="s">
        <v>8</v>
      </c>
    </row>
    <row r="4" spans="1:4" x14ac:dyDescent="0.25">
      <c r="A4" s="3" t="s">
        <v>3</v>
      </c>
      <c r="B4" s="3" t="s">
        <v>15</v>
      </c>
      <c r="C4" s="3" t="s">
        <v>1</v>
      </c>
      <c r="D4" s="3" t="s">
        <v>0</v>
      </c>
    </row>
    <row r="5" spans="1:4" x14ac:dyDescent="0.25">
      <c r="A5" s="1">
        <v>12</v>
      </c>
      <c r="B5" s="8" t="s">
        <v>9</v>
      </c>
      <c r="C5" s="4">
        <v>20</v>
      </c>
      <c r="D5" s="4">
        <f>A5*C5</f>
        <v>240</v>
      </c>
    </row>
    <row r="6" spans="1:4" x14ac:dyDescent="0.25">
      <c r="A6" s="1">
        <v>65</v>
      </c>
      <c r="B6" s="8" t="s">
        <v>10</v>
      </c>
      <c r="C6" s="4">
        <v>12</v>
      </c>
      <c r="D6" s="4">
        <f t="shared" ref="D6:D15" si="0">A6*C6</f>
        <v>780</v>
      </c>
    </row>
    <row r="7" spans="1:4" x14ac:dyDescent="0.25">
      <c r="A7" s="1">
        <v>45</v>
      </c>
      <c r="B7" s="8" t="s">
        <v>11</v>
      </c>
      <c r="C7" s="4">
        <v>12</v>
      </c>
      <c r="D7" s="4">
        <f t="shared" si="0"/>
        <v>540</v>
      </c>
    </row>
    <row r="8" spans="1:4" x14ac:dyDescent="0.25">
      <c r="A8" s="1">
        <v>50</v>
      </c>
      <c r="B8" s="8" t="s">
        <v>12</v>
      </c>
      <c r="C8" s="4">
        <v>15</v>
      </c>
      <c r="D8" s="4">
        <f t="shared" si="0"/>
        <v>750</v>
      </c>
    </row>
    <row r="9" spans="1:4" x14ac:dyDescent="0.25">
      <c r="A9" s="1">
        <v>35</v>
      </c>
      <c r="B9" s="8" t="s">
        <v>13</v>
      </c>
      <c r="C9" s="4">
        <v>10</v>
      </c>
      <c r="D9" s="4">
        <f t="shared" si="0"/>
        <v>350</v>
      </c>
    </row>
    <row r="10" spans="1:4" x14ac:dyDescent="0.25">
      <c r="A10" s="1">
        <v>48</v>
      </c>
      <c r="B10" s="9" t="s">
        <v>40</v>
      </c>
      <c r="C10" s="4">
        <v>10</v>
      </c>
      <c r="D10" s="4">
        <f t="shared" si="0"/>
        <v>480</v>
      </c>
    </row>
    <row r="11" spans="1:4" x14ac:dyDescent="0.25">
      <c r="A11" s="1">
        <v>33</v>
      </c>
      <c r="B11" s="9" t="s">
        <v>41</v>
      </c>
      <c r="C11" s="4">
        <v>10</v>
      </c>
      <c r="D11" s="4">
        <f t="shared" si="0"/>
        <v>330</v>
      </c>
    </row>
    <row r="12" spans="1:4" x14ac:dyDescent="0.25">
      <c r="A12" s="1">
        <v>20</v>
      </c>
      <c r="B12" s="9" t="s">
        <v>42</v>
      </c>
      <c r="C12" s="4">
        <v>10</v>
      </c>
      <c r="D12" s="4">
        <f t="shared" si="0"/>
        <v>200</v>
      </c>
    </row>
    <row r="13" spans="1:4" x14ac:dyDescent="0.25">
      <c r="A13" s="1">
        <v>120</v>
      </c>
      <c r="B13" s="9" t="s">
        <v>43</v>
      </c>
      <c r="C13" s="4">
        <v>10</v>
      </c>
      <c r="D13" s="4">
        <f t="shared" si="0"/>
        <v>1200</v>
      </c>
    </row>
    <row r="14" spans="1:4" x14ac:dyDescent="0.25">
      <c r="A14" s="1">
        <v>82</v>
      </c>
      <c r="B14" s="9" t="s">
        <v>44</v>
      </c>
      <c r="C14" s="4">
        <v>10</v>
      </c>
      <c r="D14" s="4">
        <f>A14*C14</f>
        <v>820</v>
      </c>
    </row>
    <row r="15" spans="1:4" x14ac:dyDescent="0.25">
      <c r="A15" s="1">
        <v>90</v>
      </c>
      <c r="B15" s="9" t="s">
        <v>45</v>
      </c>
      <c r="C15" s="4">
        <v>10</v>
      </c>
      <c r="D15" s="4">
        <f t="shared" si="0"/>
        <v>900</v>
      </c>
    </row>
    <row r="16" spans="1:4" ht="3.75" customHeight="1" x14ac:dyDescent="0.25">
      <c r="D16" s="5"/>
    </row>
    <row r="17" spans="1:5" x14ac:dyDescent="0.25">
      <c r="A17" s="6" t="str">
        <f>"Total Employees: " &amp; SUM(A5:A15)</f>
        <v>Total Employees: 600</v>
      </c>
      <c r="C17" s="2" t="s">
        <v>2</v>
      </c>
      <c r="D17" s="5">
        <f>SUM(D5:D15)</f>
        <v>6590</v>
      </c>
      <c r="E17" s="2" t="s">
        <v>6</v>
      </c>
    </row>
    <row r="18" spans="1:5" x14ac:dyDescent="0.25">
      <c r="C18" s="2" t="s">
        <v>4</v>
      </c>
      <c r="D18" s="5">
        <f>D17*0.2</f>
        <v>1318</v>
      </c>
      <c r="E18" s="2" t="s">
        <v>6</v>
      </c>
    </row>
    <row r="19" spans="1:5" x14ac:dyDescent="0.25">
      <c r="C19" s="6" t="s">
        <v>5</v>
      </c>
      <c r="D19" s="7">
        <f>SUM(D17:D18)</f>
        <v>7908</v>
      </c>
      <c r="E19" s="6" t="s">
        <v>6</v>
      </c>
    </row>
    <row r="20" spans="1:5" x14ac:dyDescent="0.25">
      <c r="C20" s="6"/>
      <c r="D20" s="6"/>
      <c r="E20" s="6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6"/>
  <sheetViews>
    <sheetView showGridLines="0" tabSelected="1" workbookViewId="0">
      <selection activeCell="E6" sqref="E6"/>
    </sheetView>
  </sheetViews>
  <sheetFormatPr defaultRowHeight="15" x14ac:dyDescent="0.25"/>
  <cols>
    <col min="1" max="1" width="18.85546875" style="2" customWidth="1"/>
    <col min="2" max="2" width="5.85546875" style="2" customWidth="1"/>
    <col min="3" max="13" width="13.7109375" style="2" customWidth="1"/>
    <col min="14" max="15" width="13.7109375" style="2" hidden="1" customWidth="1"/>
    <col min="16" max="16" width="1.85546875" style="2" customWidth="1"/>
    <col min="17" max="17" width="8.28515625" style="2" customWidth="1"/>
    <col min="18" max="16384" width="9.140625" style="2"/>
  </cols>
  <sheetData>
    <row r="1" spans="1:18" s="6" customFormat="1" x14ac:dyDescent="0.25">
      <c r="A1" s="11" t="s">
        <v>7</v>
      </c>
      <c r="B1" s="6" t="s">
        <v>18</v>
      </c>
    </row>
    <row r="2" spans="1:18" s="6" customFormat="1" x14ac:dyDescent="0.25">
      <c r="B2" s="6" t="s">
        <v>14</v>
      </c>
    </row>
    <row r="3" spans="1:18" ht="11.25" customHeight="1" x14ac:dyDescent="0.25"/>
    <row r="4" spans="1:18" x14ac:dyDescent="0.25">
      <c r="C4" s="2" t="s">
        <v>32</v>
      </c>
    </row>
    <row r="5" spans="1:18" ht="104.25" x14ac:dyDescent="0.25">
      <c r="A5" s="12" t="s">
        <v>15</v>
      </c>
      <c r="B5" s="12" t="s">
        <v>16</v>
      </c>
      <c r="C5" s="12" t="s">
        <v>19</v>
      </c>
      <c r="D5" s="12" t="s">
        <v>29</v>
      </c>
      <c r="E5" s="12" t="s">
        <v>51</v>
      </c>
      <c r="F5" s="12" t="s">
        <v>50</v>
      </c>
      <c r="G5" s="12" t="s">
        <v>20</v>
      </c>
      <c r="H5" s="12" t="s">
        <v>21</v>
      </c>
      <c r="I5" s="12" t="s">
        <v>22</v>
      </c>
      <c r="J5" s="12" t="s">
        <v>23</v>
      </c>
      <c r="K5" s="12" t="s">
        <v>24</v>
      </c>
      <c r="L5" s="12" t="s">
        <v>25</v>
      </c>
      <c r="M5" s="12" t="s">
        <v>26</v>
      </c>
      <c r="N5" s="12" t="s">
        <v>27</v>
      </c>
      <c r="O5" s="12" t="s">
        <v>28</v>
      </c>
      <c r="Q5" s="13" t="s">
        <v>31</v>
      </c>
    </row>
    <row r="6" spans="1:18" x14ac:dyDescent="0.25">
      <c r="A6" s="14" t="str">
        <f>'Floor Space Requirements'!B5</f>
        <v>Executive</v>
      </c>
      <c r="B6" s="10">
        <f>'Floor Space Requirements'!A5</f>
        <v>12</v>
      </c>
      <c r="C6" s="10">
        <f>ROUNDUP(1.5*B6,0)</f>
        <v>18</v>
      </c>
      <c r="D6" s="10">
        <f>ROUNDUP(0.875*B6,0)</f>
        <v>11</v>
      </c>
      <c r="E6" s="14">
        <f>ROUNDUP(0.75*B6,0)</f>
        <v>9</v>
      </c>
      <c r="F6" s="14">
        <f>ROUNDUP(0.975*B6,0)</f>
        <v>12</v>
      </c>
      <c r="G6" s="14">
        <f>ROUNDUP((E6+F6)*2.9,0)</f>
        <v>61</v>
      </c>
      <c r="H6" s="14">
        <f>ROUNDUP((E6+F6)*(ROUNDUP(MOD(G6,F6)/10,0)+1),0)</f>
        <v>42</v>
      </c>
      <c r="I6" s="14">
        <f>ROUNDUP((E6+F6)*(ROUNDUP(MOD(G6,F6)/10,0)+2),0)</f>
        <v>63</v>
      </c>
      <c r="J6" s="14">
        <f>ROUNDUP((E6+F6)*(ROUNDUP(MOD(G6,F6)/10,0)+1.8),0)</f>
        <v>59</v>
      </c>
      <c r="K6" s="14">
        <f>B6/SUM(B6:B16)*(SUM(B6:B16)*25)</f>
        <v>300</v>
      </c>
      <c r="L6" s="14">
        <f>IF(SUM($B$6:$B$16)&gt;200,$B6/SUM($B$6:$B$16)*(SUM($B$6:$B$16)*$B7),0)</f>
        <v>780</v>
      </c>
      <c r="M6" s="14">
        <f t="shared" ref="M6:M11" si="0">IF(SUM($B$6:$B$16)&gt;400,$B6/SUM($B$6:$B$16)*(SUM($B$6:$B$16)*$B8),0)</f>
        <v>540</v>
      </c>
      <c r="N6" s="14">
        <f>IF(SUM($B$6:$B$16)&gt;600,$B6/SUM($B$6:$B$16)*(SUM($B$6:$B$16)*$B13),0)</f>
        <v>0</v>
      </c>
      <c r="O6" s="14">
        <f t="shared" ref="O6:O11" si="1">IF(SUM($B$6:$B$16)&gt;800,$B6/SUM($B$6:$B$16)*(SUM($B$6:$B$16)*$B9),0)</f>
        <v>0</v>
      </c>
      <c r="Q6" s="2">
        <f>SUM(C6:O6)</f>
        <v>1895</v>
      </c>
      <c r="R6" s="2" t="s">
        <v>34</v>
      </c>
    </row>
    <row r="7" spans="1:18" x14ac:dyDescent="0.25">
      <c r="A7" s="14" t="str">
        <f>'Floor Space Requirements'!B6</f>
        <v>HR</v>
      </c>
      <c r="B7" s="10">
        <f>'Floor Space Requirements'!A6</f>
        <v>65</v>
      </c>
      <c r="C7" s="10">
        <f t="shared" ref="C7:C16" si="2">ROUNDUP(1.5*B7,0)</f>
        <v>98</v>
      </c>
      <c r="D7" s="10">
        <f t="shared" ref="D7:D16" si="3">ROUNDUP(0.875*B7,0)</f>
        <v>57</v>
      </c>
      <c r="E7" s="14">
        <f t="shared" ref="E7:E16" si="4">ROUNDUP(0.75*B7,0)</f>
        <v>49</v>
      </c>
      <c r="F7" s="14">
        <f t="shared" ref="F7:F16" si="5">ROUNDUP(0.975*B7,0)</f>
        <v>64</v>
      </c>
      <c r="G7" s="14">
        <f>ROUNDUP((E7+F7)*2.9,0)</f>
        <v>328</v>
      </c>
      <c r="H7" s="14">
        <f t="shared" ref="H7:H16" si="6">ROUNDUP((E7+F7)*(ROUNDUP(MOD(G7,F7)/10,0)+1),0)</f>
        <v>226</v>
      </c>
      <c r="I7" s="14">
        <f t="shared" ref="I7:I16" si="7">ROUNDUP((E7+F7)*(ROUNDUP(MOD(G7,F7)/10,0)+2),0)</f>
        <v>339</v>
      </c>
      <c r="J7" s="14">
        <f t="shared" ref="J7:J16" si="8">ROUNDUP((E7+F7)*(ROUNDUP(MOD(G7,F7)/10,0)+1.8),0)</f>
        <v>317</v>
      </c>
      <c r="K7" s="14">
        <f>B7/SUM(B7:B17)*(SUM(B7:B17)*25)</f>
        <v>1625</v>
      </c>
      <c r="L7" s="14">
        <f>IF(SUM($B$6:$B$16)&gt;200,$B7/SUM($B$6:$B$16)*(SUM($B$6:$B$16)*$B8),0)</f>
        <v>2925</v>
      </c>
      <c r="M7" s="14">
        <f t="shared" si="0"/>
        <v>3250</v>
      </c>
      <c r="N7" s="14">
        <f>IF(SUM($B$6:$B$16)&gt;600,$B7/SUM($B$6:$B$16)*(SUM($B$6:$B$16)*$B14),0)</f>
        <v>0</v>
      </c>
      <c r="O7" s="14">
        <f t="shared" si="1"/>
        <v>0</v>
      </c>
      <c r="Q7" s="2">
        <f t="shared" ref="Q7:Q16" si="9">SUM(C7:O7)</f>
        <v>9278</v>
      </c>
      <c r="R7" s="2" t="s">
        <v>34</v>
      </c>
    </row>
    <row r="8" spans="1:18" x14ac:dyDescent="0.25">
      <c r="A8" s="14" t="str">
        <f>'Floor Space Requirements'!B7</f>
        <v>Finance</v>
      </c>
      <c r="B8" s="10">
        <f>'Floor Space Requirements'!A7</f>
        <v>45</v>
      </c>
      <c r="C8" s="10">
        <f t="shared" si="2"/>
        <v>68</v>
      </c>
      <c r="D8" s="10">
        <f t="shared" si="3"/>
        <v>40</v>
      </c>
      <c r="E8" s="14">
        <f t="shared" si="4"/>
        <v>34</v>
      </c>
      <c r="F8" s="14">
        <f t="shared" si="5"/>
        <v>44</v>
      </c>
      <c r="G8" s="14">
        <f>ROUNDUP((E8+F8)*2.9,0)</f>
        <v>227</v>
      </c>
      <c r="H8" s="14">
        <f t="shared" si="6"/>
        <v>156</v>
      </c>
      <c r="I8" s="14">
        <f t="shared" si="7"/>
        <v>234</v>
      </c>
      <c r="J8" s="14">
        <f t="shared" si="8"/>
        <v>219</v>
      </c>
      <c r="K8" s="14">
        <f>B8/SUM(B8:B18)*(SUM(B8:B18)*95)</f>
        <v>4275</v>
      </c>
      <c r="L8" s="14">
        <f>IF(SUM($B$6:$B$16)&gt;200,$B8/SUM($B$6:$B$16)*(SUM($B$6:$B$16)*$B9),0)</f>
        <v>2250</v>
      </c>
      <c r="M8" s="14">
        <f t="shared" si="0"/>
        <v>1575</v>
      </c>
      <c r="N8" s="14">
        <f>IF(SUM($B$6:$B$16)&gt;600,$B8/SUM($B$6:$B$16)*(SUM($B$6:$B$16)*$B15),0)</f>
        <v>0</v>
      </c>
      <c r="O8" s="14">
        <f t="shared" si="1"/>
        <v>0</v>
      </c>
      <c r="Q8" s="2">
        <f t="shared" si="9"/>
        <v>9122</v>
      </c>
      <c r="R8" s="2" t="s">
        <v>34</v>
      </c>
    </row>
    <row r="9" spans="1:18" x14ac:dyDescent="0.25">
      <c r="A9" s="14" t="str">
        <f>'Floor Space Requirements'!B8</f>
        <v>Legal</v>
      </c>
      <c r="B9" s="10">
        <f>'Floor Space Requirements'!A8</f>
        <v>50</v>
      </c>
      <c r="C9" s="10">
        <f t="shared" si="2"/>
        <v>75</v>
      </c>
      <c r="D9" s="10">
        <f t="shared" si="3"/>
        <v>44</v>
      </c>
      <c r="E9" s="14">
        <f t="shared" si="4"/>
        <v>38</v>
      </c>
      <c r="F9" s="14">
        <f t="shared" si="5"/>
        <v>49</v>
      </c>
      <c r="G9" s="14">
        <f t="shared" ref="G9:G16" si="10">ROUNDUP((E9+F9)*2.9,0)</f>
        <v>253</v>
      </c>
      <c r="H9" s="14">
        <f t="shared" si="6"/>
        <v>174</v>
      </c>
      <c r="I9" s="14">
        <f t="shared" si="7"/>
        <v>261</v>
      </c>
      <c r="J9" s="14">
        <f t="shared" si="8"/>
        <v>244</v>
      </c>
      <c r="K9" s="14">
        <f>B9/SUM(B9:B21)*(SUM(B9:B21)*90)</f>
        <v>4500</v>
      </c>
      <c r="L9" s="14">
        <f>IF(SUM($B$6:$B$16)&gt;200,$B9/SUM($B$6:$B$16)*(SUM($B$6:$B$16)*$B10),0)</f>
        <v>1750</v>
      </c>
      <c r="M9" s="14">
        <f t="shared" si="0"/>
        <v>2400</v>
      </c>
      <c r="N9" s="14">
        <f>IF(SUM($B$6:$B$16)&gt;600,$B9/SUM($B$6:$B$16)*(SUM($B$6:$B$16)*$B16),0)</f>
        <v>0</v>
      </c>
      <c r="O9" s="14">
        <f t="shared" si="1"/>
        <v>0</v>
      </c>
      <c r="Q9" s="2">
        <f t="shared" si="9"/>
        <v>9788</v>
      </c>
      <c r="R9" s="2" t="s">
        <v>34</v>
      </c>
    </row>
    <row r="10" spans="1:18" x14ac:dyDescent="0.25">
      <c r="A10" s="14" t="str">
        <f>'Floor Space Requirements'!B9</f>
        <v>IT</v>
      </c>
      <c r="B10" s="10">
        <f>'Floor Space Requirements'!A9</f>
        <v>35</v>
      </c>
      <c r="C10" s="10">
        <f t="shared" si="2"/>
        <v>53</v>
      </c>
      <c r="D10" s="10">
        <f t="shared" si="3"/>
        <v>31</v>
      </c>
      <c r="E10" s="14">
        <f t="shared" si="4"/>
        <v>27</v>
      </c>
      <c r="F10" s="14">
        <f t="shared" si="5"/>
        <v>35</v>
      </c>
      <c r="G10" s="14">
        <f t="shared" si="10"/>
        <v>180</v>
      </c>
      <c r="H10" s="14">
        <f t="shared" si="6"/>
        <v>124</v>
      </c>
      <c r="I10" s="14">
        <f t="shared" si="7"/>
        <v>186</v>
      </c>
      <c r="J10" s="14">
        <f t="shared" si="8"/>
        <v>174</v>
      </c>
      <c r="K10" s="14">
        <f>B10/SUM(B10:B21)*(SUM(B10:B21)*125)</f>
        <v>4375</v>
      </c>
      <c r="L10" s="14">
        <f>IF(SUM($B$6:$B$16)&gt;200,$B10/SUM($B$6:$B$16)*(SUM($B$6:$B$16)*$B11),0)</f>
        <v>1680</v>
      </c>
      <c r="M10" s="14">
        <f t="shared" si="0"/>
        <v>1155</v>
      </c>
      <c r="N10" s="14">
        <f>IF(SUM($B$6:$B$16)&gt;600,$B10/SUM($B$6:$B$16)*(SUM($B$6:$B$16)*$B6),0)</f>
        <v>0</v>
      </c>
      <c r="O10" s="14">
        <f t="shared" si="1"/>
        <v>0</v>
      </c>
      <c r="Q10" s="2">
        <f t="shared" si="9"/>
        <v>8020</v>
      </c>
      <c r="R10" s="2" t="s">
        <v>34</v>
      </c>
    </row>
    <row r="11" spans="1:18" x14ac:dyDescent="0.25">
      <c r="A11" s="14" t="str">
        <f>'Floor Space Requirements'!B10</f>
        <v>Department 6</v>
      </c>
      <c r="B11" s="10">
        <f>'Floor Space Requirements'!A10</f>
        <v>48</v>
      </c>
      <c r="C11" s="10">
        <f t="shared" si="2"/>
        <v>72</v>
      </c>
      <c r="D11" s="10">
        <f t="shared" si="3"/>
        <v>42</v>
      </c>
      <c r="E11" s="14">
        <f t="shared" si="4"/>
        <v>36</v>
      </c>
      <c r="F11" s="14">
        <f t="shared" si="5"/>
        <v>47</v>
      </c>
      <c r="G11" s="14">
        <f t="shared" si="10"/>
        <v>241</v>
      </c>
      <c r="H11" s="14">
        <f t="shared" si="6"/>
        <v>166</v>
      </c>
      <c r="I11" s="14">
        <f t="shared" si="7"/>
        <v>249</v>
      </c>
      <c r="J11" s="14">
        <f t="shared" si="8"/>
        <v>233</v>
      </c>
      <c r="K11" s="14">
        <f>B11/SUM(B11:B21)*(SUM(B11:B21)*(B10))</f>
        <v>1680</v>
      </c>
      <c r="L11" s="14">
        <f>IF(SUM($B$6:$B$16)&gt;200,$B11/SUM($B$6:$B$16)*(SUM($B$6:$B$16)*$B9),0)</f>
        <v>2400</v>
      </c>
      <c r="M11" s="14">
        <f t="shared" si="0"/>
        <v>960</v>
      </c>
      <c r="N11" s="14">
        <f>IF(SUM($B$6:$B$16)&gt;600,$B11/SUM($B$6:$B$16)*(SUM($B$6:$B$16)*$B7),0)</f>
        <v>0</v>
      </c>
      <c r="O11" s="14">
        <f t="shared" si="1"/>
        <v>0</v>
      </c>
      <c r="Q11" s="2">
        <f t="shared" si="9"/>
        <v>6126</v>
      </c>
      <c r="R11" s="2" t="s">
        <v>34</v>
      </c>
    </row>
    <row r="12" spans="1:18" x14ac:dyDescent="0.25">
      <c r="A12" s="14" t="str">
        <f>'Floor Space Requirements'!B11</f>
        <v>Department 7</v>
      </c>
      <c r="B12" s="10">
        <f>'Floor Space Requirements'!A11</f>
        <v>33</v>
      </c>
      <c r="C12" s="10">
        <f t="shared" si="2"/>
        <v>50</v>
      </c>
      <c r="D12" s="10">
        <f t="shared" si="3"/>
        <v>29</v>
      </c>
      <c r="E12" s="14">
        <f t="shared" si="4"/>
        <v>25</v>
      </c>
      <c r="F12" s="14">
        <f t="shared" si="5"/>
        <v>33</v>
      </c>
      <c r="G12" s="14">
        <f t="shared" si="10"/>
        <v>169</v>
      </c>
      <c r="H12" s="14">
        <f t="shared" si="6"/>
        <v>116</v>
      </c>
      <c r="I12" s="14">
        <f t="shared" si="7"/>
        <v>174</v>
      </c>
      <c r="J12" s="14">
        <f t="shared" si="8"/>
        <v>163</v>
      </c>
      <c r="K12" s="14">
        <f>B12/SUM(B12:B22)*(SUM(B12:B22)*(B11))</f>
        <v>1584</v>
      </c>
      <c r="L12" s="14">
        <f t="shared" ref="L12:L16" si="11">IF(SUM($B$6:$B$16)&gt;200,$B12/SUM($B$6:$B$16)*(SUM($B$6:$B$16)*$B10),0)</f>
        <v>1155</v>
      </c>
      <c r="M12" s="14">
        <f>IF(SUM($B$6:$B$16)&gt;400,$B12/SUM($B$6:$B$16)*(SUM($B$6:$B$16)*$B8),0)</f>
        <v>1485</v>
      </c>
      <c r="N12" s="14">
        <f>IF(SUM($B$6:$B$16)&gt;600,$B12/SUM($B$6:$B$16)*(SUM($B$6:$B$16)*$B7),0)</f>
        <v>0</v>
      </c>
      <c r="O12" s="14">
        <f>IF(SUM($B$6:$B$16)&gt;800,$B12/SUM($B$6:$B$16)*(SUM($B$6:$B$16)*$B9),0)</f>
        <v>0</v>
      </c>
      <c r="Q12" s="2">
        <f t="shared" si="9"/>
        <v>4983</v>
      </c>
      <c r="R12" s="2" t="s">
        <v>34</v>
      </c>
    </row>
    <row r="13" spans="1:18" x14ac:dyDescent="0.25">
      <c r="A13" s="14" t="str">
        <f>'Floor Space Requirements'!B12</f>
        <v>Department 8</v>
      </c>
      <c r="B13" s="10">
        <f>'Floor Space Requirements'!A12</f>
        <v>20</v>
      </c>
      <c r="C13" s="10">
        <f t="shared" si="2"/>
        <v>30</v>
      </c>
      <c r="D13" s="10">
        <f t="shared" si="3"/>
        <v>18</v>
      </c>
      <c r="E13" s="14">
        <f t="shared" si="4"/>
        <v>15</v>
      </c>
      <c r="F13" s="14">
        <f t="shared" si="5"/>
        <v>20</v>
      </c>
      <c r="G13" s="14">
        <f t="shared" si="10"/>
        <v>102</v>
      </c>
      <c r="H13" s="14">
        <f t="shared" si="6"/>
        <v>70</v>
      </c>
      <c r="I13" s="14">
        <f t="shared" si="7"/>
        <v>105</v>
      </c>
      <c r="J13" s="14">
        <f t="shared" si="8"/>
        <v>98</v>
      </c>
      <c r="K13" s="14">
        <f>B13/SUM(B13:B22)*(SUM(B13:B22)*(B12))</f>
        <v>659.99999999999989</v>
      </c>
      <c r="L13" s="14">
        <f t="shared" si="11"/>
        <v>960</v>
      </c>
      <c r="M13" s="14">
        <f>IF(SUM($B$6:$B$16)&gt;400,$B13/SUM($B$6:$B$16)*(SUM($B$6:$B$16)*$B9),0)</f>
        <v>1000</v>
      </c>
      <c r="N13" s="14">
        <f>IF(SUM($B$6:$B$16)&gt;600,$B13/SUM($B$6:$B$16)*(SUM($B$6:$B$16)*$B8),0)</f>
        <v>0</v>
      </c>
      <c r="O13" s="14">
        <f>IF(SUM($B$6:$B$16)&gt;800,$B13/SUM($B$6:$B$16)*(SUM($B$6:$B$16)*$B10),0)</f>
        <v>0</v>
      </c>
      <c r="Q13" s="2">
        <f t="shared" si="9"/>
        <v>3078</v>
      </c>
      <c r="R13" s="2" t="s">
        <v>34</v>
      </c>
    </row>
    <row r="14" spans="1:18" x14ac:dyDescent="0.25">
      <c r="A14" s="14" t="str">
        <f>'Floor Space Requirements'!B13</f>
        <v>Department 9</v>
      </c>
      <c r="B14" s="10">
        <f>'Floor Space Requirements'!A13</f>
        <v>120</v>
      </c>
      <c r="C14" s="10">
        <f t="shared" si="2"/>
        <v>180</v>
      </c>
      <c r="D14" s="10">
        <f t="shared" si="3"/>
        <v>105</v>
      </c>
      <c r="E14" s="14">
        <f t="shared" si="4"/>
        <v>90</v>
      </c>
      <c r="F14" s="14">
        <f t="shared" si="5"/>
        <v>117</v>
      </c>
      <c r="G14" s="14">
        <f t="shared" si="10"/>
        <v>601</v>
      </c>
      <c r="H14" s="14">
        <f t="shared" si="6"/>
        <v>621</v>
      </c>
      <c r="I14" s="14">
        <f t="shared" si="7"/>
        <v>828</v>
      </c>
      <c r="J14" s="14">
        <f t="shared" si="8"/>
        <v>787</v>
      </c>
      <c r="K14" s="14">
        <f>B14/SUM(B14:B22)*(SUM(B14:B22)*(B13))</f>
        <v>2400</v>
      </c>
      <c r="L14" s="14">
        <f t="shared" si="11"/>
        <v>3960</v>
      </c>
      <c r="M14" s="14">
        <f>IF(SUM($B$6:$B$16)&gt;400,$B14/SUM($B$6:$B$16)*(SUM($B$6:$B$16)*$B10),0)</f>
        <v>4200</v>
      </c>
      <c r="N14" s="14">
        <f>IF(SUM($B$6:$B$16)&gt;600,$B14/SUM($B$6:$B$16)*(SUM($B$6:$B$16)*$B9),0)</f>
        <v>0</v>
      </c>
      <c r="O14" s="14">
        <f>IF(SUM($B$6:$B$16)&gt;800,$B14/SUM($B$6:$B$16)*(SUM($B$6:$B$16)*$B11),0)</f>
        <v>0</v>
      </c>
      <c r="Q14" s="2">
        <f t="shared" si="9"/>
        <v>13889</v>
      </c>
      <c r="R14" s="2" t="s">
        <v>34</v>
      </c>
    </row>
    <row r="15" spans="1:18" x14ac:dyDescent="0.25">
      <c r="A15" s="14" t="str">
        <f>'Floor Space Requirements'!B14</f>
        <v>Department 10</v>
      </c>
      <c r="B15" s="10">
        <f>'Floor Space Requirements'!A14</f>
        <v>82</v>
      </c>
      <c r="C15" s="10">
        <f t="shared" si="2"/>
        <v>123</v>
      </c>
      <c r="D15" s="10">
        <f t="shared" si="3"/>
        <v>72</v>
      </c>
      <c r="E15" s="14">
        <f t="shared" si="4"/>
        <v>62</v>
      </c>
      <c r="F15" s="14">
        <f t="shared" si="5"/>
        <v>80</v>
      </c>
      <c r="G15" s="14">
        <f t="shared" si="10"/>
        <v>412</v>
      </c>
      <c r="H15" s="14">
        <f t="shared" si="6"/>
        <v>426</v>
      </c>
      <c r="I15" s="14">
        <f t="shared" si="7"/>
        <v>568</v>
      </c>
      <c r="J15" s="14">
        <f t="shared" si="8"/>
        <v>540</v>
      </c>
      <c r="K15" s="14">
        <f>B15/SUM(B15:B24)*(SUM(B15:B24)*(B14))</f>
        <v>9840</v>
      </c>
      <c r="L15" s="14">
        <f t="shared" si="11"/>
        <v>1640</v>
      </c>
      <c r="M15" s="14">
        <f>IF(SUM($B$6:$B$16)&gt;400,$B15/SUM($B$6:$B$16)*(SUM($B$6:$B$16)*$B11),0)</f>
        <v>3935.9999999999995</v>
      </c>
      <c r="N15" s="14">
        <f>IF(SUM($B$6:$B$16)&gt;600,$B15/SUM($B$6:$B$16)*(SUM($B$6:$B$16)*$B10),0)</f>
        <v>0</v>
      </c>
      <c r="O15" s="14">
        <f>IF(SUM($B$6:$B$16)&gt;800,$B15/SUM($B$6:$B$16)*(SUM($B$6:$B$16)*$B12),0)</f>
        <v>0</v>
      </c>
      <c r="Q15" s="2">
        <f t="shared" si="9"/>
        <v>17699</v>
      </c>
      <c r="R15" s="2" t="s">
        <v>34</v>
      </c>
    </row>
    <row r="16" spans="1:18" x14ac:dyDescent="0.25">
      <c r="A16" s="14" t="str">
        <f>'Floor Space Requirements'!B15</f>
        <v>Department 11</v>
      </c>
      <c r="B16" s="10">
        <f>'Floor Space Requirements'!A15</f>
        <v>90</v>
      </c>
      <c r="C16" s="10">
        <f t="shared" si="2"/>
        <v>135</v>
      </c>
      <c r="D16" s="10">
        <f t="shared" si="3"/>
        <v>79</v>
      </c>
      <c r="E16" s="14">
        <f t="shared" si="4"/>
        <v>68</v>
      </c>
      <c r="F16" s="14">
        <f t="shared" si="5"/>
        <v>88</v>
      </c>
      <c r="G16" s="14">
        <f t="shared" si="10"/>
        <v>453</v>
      </c>
      <c r="H16" s="14">
        <f t="shared" si="6"/>
        <v>468</v>
      </c>
      <c r="I16" s="14">
        <f t="shared" si="7"/>
        <v>624</v>
      </c>
      <c r="J16" s="14">
        <f t="shared" si="8"/>
        <v>593</v>
      </c>
      <c r="K16" s="14">
        <f>B16/SUM(B16:B25)*(SUM(B16:B25)*(B15))</f>
        <v>7380</v>
      </c>
      <c r="L16" s="14">
        <f t="shared" si="11"/>
        <v>10800</v>
      </c>
      <c r="M16" s="14">
        <f>IF(SUM($B$6:$B$16)&gt;400,$B16/SUM($B$6:$B$16)*(SUM($B$6:$B$16)*$B12),0)</f>
        <v>2970</v>
      </c>
      <c r="N16" s="14">
        <f>IF(SUM($B$6:$B$16)&gt;600,$B16/SUM($B$6:$B$16)*(SUM($B$6:$B$16)*$B11),0)</f>
        <v>0</v>
      </c>
      <c r="O16" s="14">
        <f>IF(SUM($B$6:$B$16)&gt;800,$B16/SUM($B$6:$B$16)*(SUM($B$6:$B$16)*$B13),0)</f>
        <v>0</v>
      </c>
      <c r="Q16" s="2">
        <f t="shared" si="9"/>
        <v>23658</v>
      </c>
      <c r="R16" s="2" t="s">
        <v>34</v>
      </c>
    </row>
    <row r="17" spans="1:16" ht="3.75" customHeight="1" x14ac:dyDescent="0.25"/>
    <row r="18" spans="1:16" x14ac:dyDescent="0.25">
      <c r="A18" s="6" t="s">
        <v>30</v>
      </c>
      <c r="C18" s="15" t="str">
        <f>SUM(C6:C16) &amp; " Mb/s"</f>
        <v>902 Mb/s</v>
      </c>
      <c r="D18" s="15" t="str">
        <f t="shared" ref="D18:O18" si="12">SUM(D6:D16) &amp; " Mb/s"</f>
        <v>528 Mb/s</v>
      </c>
      <c r="E18" s="15" t="str">
        <f t="shared" si="12"/>
        <v>453 Mb/s</v>
      </c>
      <c r="F18" s="15" t="str">
        <f t="shared" si="12"/>
        <v>589 Mb/s</v>
      </c>
      <c r="G18" s="15" t="str">
        <f t="shared" si="12"/>
        <v>3027 Mb/s</v>
      </c>
      <c r="H18" s="15" t="str">
        <f t="shared" si="12"/>
        <v>2589 Mb/s</v>
      </c>
      <c r="I18" s="15" t="str">
        <f t="shared" si="12"/>
        <v>3631 Mb/s</v>
      </c>
      <c r="J18" s="15" t="str">
        <f t="shared" si="12"/>
        <v>3427 Mb/s</v>
      </c>
      <c r="K18" s="15" t="str">
        <f t="shared" si="12"/>
        <v>38619 Mb/s</v>
      </c>
      <c r="L18" s="15" t="str">
        <f t="shared" si="12"/>
        <v>30300 Mb/s</v>
      </c>
      <c r="M18" s="15" t="str">
        <f t="shared" si="12"/>
        <v>23471 Mb/s</v>
      </c>
      <c r="N18" s="15" t="str">
        <f t="shared" si="12"/>
        <v>0 Mb/s</v>
      </c>
      <c r="O18" s="15" t="str">
        <f t="shared" si="12"/>
        <v>0 Mb/s</v>
      </c>
      <c r="P18" s="15"/>
    </row>
    <row r="19" spans="1:16" x14ac:dyDescent="0.25">
      <c r="A19" s="6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ht="18.75" x14ac:dyDescent="0.3">
      <c r="A20" s="20" t="s">
        <v>48</v>
      </c>
      <c r="B20" s="21"/>
      <c r="C20" s="16" t="s">
        <v>49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</row>
    <row r="21" spans="1:16" ht="6.75" customHeight="1" x14ac:dyDescent="0.25"/>
    <row r="22" spans="1:16" x14ac:dyDescent="0.25">
      <c r="A22" s="6" t="s">
        <v>33</v>
      </c>
      <c r="B22" s="6"/>
      <c r="C22" s="6" t="str">
        <f>SUM(C6:M17) &amp; " Mb/s"</f>
        <v>107536 Mb/s</v>
      </c>
      <c r="D22" s="6"/>
      <c r="E22" s="22" t="s">
        <v>46</v>
      </c>
      <c r="F22" s="23" t="str">
        <f>SUM(F26:F36) &amp; " Mb/s"</f>
        <v>53677 Mb/s</v>
      </c>
      <c r="G22" s="6"/>
      <c r="H22" s="24" t="s">
        <v>47</v>
      </c>
      <c r="I22" s="25" t="str">
        <f>SUM(I26:I36) &amp; " Mb/s"</f>
        <v>53859 Mb/s</v>
      </c>
      <c r="J22" s="6"/>
    </row>
    <row r="23" spans="1:16" ht="5.25" customHeight="1" x14ac:dyDescent="0.25">
      <c r="A23" s="6"/>
      <c r="B23" s="6"/>
      <c r="C23" s="6"/>
      <c r="D23" s="6"/>
      <c r="E23" s="23"/>
      <c r="F23" s="23"/>
      <c r="G23" s="6"/>
      <c r="H23" s="25"/>
      <c r="I23" s="25"/>
      <c r="J23" s="6"/>
    </row>
    <row r="24" spans="1:16" x14ac:dyDescent="0.25">
      <c r="A24" s="17" t="s">
        <v>39</v>
      </c>
      <c r="B24" s="6"/>
      <c r="C24" s="6"/>
      <c r="D24" s="6"/>
      <c r="E24" s="30" t="s">
        <v>35</v>
      </c>
      <c r="F24" s="30"/>
      <c r="G24" s="6"/>
      <c r="H24" s="31" t="s">
        <v>36</v>
      </c>
      <c r="I24" s="31"/>
      <c r="J24" s="6"/>
    </row>
    <row r="25" spans="1:16" x14ac:dyDescent="0.25">
      <c r="A25" s="18" t="s">
        <v>15</v>
      </c>
      <c r="B25" s="18" t="s">
        <v>37</v>
      </c>
      <c r="C25" s="18"/>
      <c r="D25" s="6"/>
      <c r="E25" s="26" t="s">
        <v>15</v>
      </c>
      <c r="F25" s="26" t="s">
        <v>34</v>
      </c>
      <c r="G25" s="6"/>
      <c r="H25" s="28" t="s">
        <v>15</v>
      </c>
      <c r="I25" s="28" t="s">
        <v>34</v>
      </c>
      <c r="J25" s="6"/>
      <c r="K25" s="19" t="s">
        <v>38</v>
      </c>
      <c r="L25" s="19">
        <v>0</v>
      </c>
      <c r="M25" s="19">
        <v>0</v>
      </c>
    </row>
    <row r="26" spans="1:16" x14ac:dyDescent="0.25">
      <c r="A26" s="2" t="s">
        <v>45</v>
      </c>
      <c r="B26" s="2">
        <v>23658</v>
      </c>
      <c r="E26" s="27" t="s">
        <v>45</v>
      </c>
      <c r="F26" s="27">
        <v>23658</v>
      </c>
      <c r="H26" s="29" t="s">
        <v>44</v>
      </c>
      <c r="I26" s="29">
        <v>17699</v>
      </c>
      <c r="K26" s="19">
        <f>MATCH(MIN(L25:M25), L25:M25, 0)</f>
        <v>1</v>
      </c>
      <c r="L26" s="19">
        <f>IF($K26=1,L25+$B26,L25)</f>
        <v>23658</v>
      </c>
      <c r="M26" s="19">
        <f>IF($K26=2,M25+$B26,M25)</f>
        <v>0</v>
      </c>
    </row>
    <row r="27" spans="1:16" x14ac:dyDescent="0.25">
      <c r="A27" s="2" t="s">
        <v>44</v>
      </c>
      <c r="B27" s="2">
        <v>17699</v>
      </c>
      <c r="E27" s="27" t="s">
        <v>40</v>
      </c>
      <c r="F27" s="27">
        <v>6126</v>
      </c>
      <c r="H27" s="29" t="s">
        <v>42</v>
      </c>
      <c r="I27" s="29">
        <v>3078</v>
      </c>
      <c r="K27" s="19">
        <f t="shared" ref="K27:K36" si="13">MATCH(MIN(L26:M26), L26:M26, 0)</f>
        <v>2</v>
      </c>
      <c r="L27" s="19">
        <f t="shared" ref="L27:L36" si="14">IF($K27=1,L26+$B27,L26)</f>
        <v>23658</v>
      </c>
      <c r="M27" s="19">
        <f t="shared" ref="M27:M36" si="15">IF($K27=2,M26+$B27,M26)</f>
        <v>17699</v>
      </c>
    </row>
    <row r="28" spans="1:16" x14ac:dyDescent="0.25">
      <c r="A28" s="2" t="s">
        <v>43</v>
      </c>
      <c r="B28" s="2">
        <v>13889</v>
      </c>
      <c r="E28" s="27" t="s">
        <v>41</v>
      </c>
      <c r="F28" s="27">
        <v>4983</v>
      </c>
      <c r="H28" s="29" t="s">
        <v>43</v>
      </c>
      <c r="I28" s="29">
        <v>13889</v>
      </c>
      <c r="K28" s="19">
        <f t="shared" si="13"/>
        <v>2</v>
      </c>
      <c r="L28" s="19">
        <f t="shared" si="14"/>
        <v>23658</v>
      </c>
      <c r="M28" s="19">
        <f t="shared" si="15"/>
        <v>31588</v>
      </c>
    </row>
    <row r="29" spans="1:16" x14ac:dyDescent="0.25">
      <c r="A29" s="2" t="s">
        <v>12</v>
      </c>
      <c r="B29" s="2">
        <v>9788</v>
      </c>
      <c r="E29" s="27" t="s">
        <v>11</v>
      </c>
      <c r="F29" s="27">
        <v>9122</v>
      </c>
      <c r="H29" s="29" t="s">
        <v>9</v>
      </c>
      <c r="I29" s="29">
        <v>1895</v>
      </c>
      <c r="K29" s="19">
        <f t="shared" si="13"/>
        <v>1</v>
      </c>
      <c r="L29" s="19">
        <f t="shared" si="14"/>
        <v>33446</v>
      </c>
      <c r="M29" s="19">
        <f t="shared" si="15"/>
        <v>31588</v>
      </c>
    </row>
    <row r="30" spans="1:16" x14ac:dyDescent="0.25">
      <c r="A30" s="2" t="s">
        <v>10</v>
      </c>
      <c r="B30" s="2">
        <v>9278</v>
      </c>
      <c r="E30" s="27" t="s">
        <v>12</v>
      </c>
      <c r="F30" s="27">
        <v>9788</v>
      </c>
      <c r="H30" s="29" t="s">
        <v>10</v>
      </c>
      <c r="I30" s="29">
        <v>9278</v>
      </c>
      <c r="K30" s="19">
        <f t="shared" si="13"/>
        <v>2</v>
      </c>
      <c r="L30" s="19">
        <f t="shared" si="14"/>
        <v>33446</v>
      </c>
      <c r="M30" s="19">
        <f t="shared" si="15"/>
        <v>40866</v>
      </c>
    </row>
    <row r="31" spans="1:16" x14ac:dyDescent="0.25">
      <c r="A31" s="2" t="s">
        <v>11</v>
      </c>
      <c r="B31" s="2">
        <v>9122</v>
      </c>
      <c r="E31" s="27"/>
      <c r="F31" s="27"/>
      <c r="H31" s="29" t="s">
        <v>13</v>
      </c>
      <c r="I31" s="29">
        <v>8020</v>
      </c>
      <c r="K31" s="19">
        <f t="shared" si="13"/>
        <v>1</v>
      </c>
      <c r="L31" s="19">
        <f t="shared" si="14"/>
        <v>42568</v>
      </c>
      <c r="M31" s="19">
        <f t="shared" si="15"/>
        <v>40866</v>
      </c>
    </row>
    <row r="32" spans="1:16" x14ac:dyDescent="0.25">
      <c r="A32" s="2" t="s">
        <v>13</v>
      </c>
      <c r="B32" s="2">
        <v>8020</v>
      </c>
      <c r="E32" s="27"/>
      <c r="F32" s="27"/>
      <c r="H32" s="29"/>
      <c r="I32" s="29"/>
      <c r="K32" s="19">
        <f t="shared" si="13"/>
        <v>2</v>
      </c>
      <c r="L32" s="19">
        <f t="shared" si="14"/>
        <v>42568</v>
      </c>
      <c r="M32" s="19">
        <f t="shared" si="15"/>
        <v>48886</v>
      </c>
    </row>
    <row r="33" spans="1:13" x14ac:dyDescent="0.25">
      <c r="A33" s="2" t="s">
        <v>40</v>
      </c>
      <c r="B33" s="2">
        <v>6126</v>
      </c>
      <c r="E33" s="27"/>
      <c r="F33" s="27"/>
      <c r="H33" s="29"/>
      <c r="I33" s="29"/>
      <c r="K33" s="19">
        <f t="shared" si="13"/>
        <v>1</v>
      </c>
      <c r="L33" s="19">
        <f t="shared" si="14"/>
        <v>48694</v>
      </c>
      <c r="M33" s="19">
        <f t="shared" si="15"/>
        <v>48886</v>
      </c>
    </row>
    <row r="34" spans="1:13" x14ac:dyDescent="0.25">
      <c r="A34" s="2" t="s">
        <v>41</v>
      </c>
      <c r="B34" s="2">
        <v>4983</v>
      </c>
      <c r="E34" s="27"/>
      <c r="F34" s="27"/>
      <c r="H34" s="29"/>
      <c r="I34" s="29"/>
      <c r="K34" s="19">
        <f t="shared" si="13"/>
        <v>1</v>
      </c>
      <c r="L34" s="19">
        <f t="shared" si="14"/>
        <v>53677</v>
      </c>
      <c r="M34" s="19">
        <f t="shared" si="15"/>
        <v>48886</v>
      </c>
    </row>
    <row r="35" spans="1:13" x14ac:dyDescent="0.25">
      <c r="A35" s="2" t="s">
        <v>42</v>
      </c>
      <c r="B35" s="2">
        <v>3078</v>
      </c>
      <c r="E35" s="27"/>
      <c r="F35" s="27"/>
      <c r="H35" s="29"/>
      <c r="I35" s="29"/>
      <c r="K35" s="19">
        <f t="shared" si="13"/>
        <v>2</v>
      </c>
      <c r="L35" s="19">
        <f t="shared" si="14"/>
        <v>53677</v>
      </c>
      <c r="M35" s="19">
        <f t="shared" si="15"/>
        <v>51964</v>
      </c>
    </row>
    <row r="36" spans="1:13" x14ac:dyDescent="0.25">
      <c r="A36" s="2" t="s">
        <v>9</v>
      </c>
      <c r="B36" s="2">
        <v>1895</v>
      </c>
      <c r="E36" s="27"/>
      <c r="F36" s="27"/>
      <c r="H36" s="29"/>
      <c r="I36" s="29"/>
      <c r="K36" s="19">
        <f t="shared" si="13"/>
        <v>2</v>
      </c>
      <c r="L36" s="19">
        <f t="shared" si="14"/>
        <v>53677</v>
      </c>
      <c r="M36" s="19">
        <f t="shared" si="15"/>
        <v>53859</v>
      </c>
    </row>
  </sheetData>
  <sheetProtection sheet="1" objects="1" scenarios="1"/>
  <sortState ref="H26:I36">
    <sortCondition ref="H26"/>
  </sortState>
  <mergeCells count="2">
    <mergeCell ref="E24:F24"/>
    <mergeCell ref="H24:I24"/>
  </mergeCells>
  <pageMargins left="0.7" right="0.7" top="0.75" bottom="0.75" header="0.3" footer="0.3"/>
  <pageSetup orientation="portrait" r:id="rId1"/>
  <ignoredErrors>
    <ignoredError sqref="K1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5CFDD8B008864099836B99076CDE26" ma:contentTypeVersion="2" ma:contentTypeDescription="Create a new document." ma:contentTypeScope="" ma:versionID="7a00418d0e1425fe73d13112fde582ac">
  <xsd:schema xmlns:xsd="http://www.w3.org/2001/XMLSchema" xmlns:xs="http://www.w3.org/2001/XMLSchema" xmlns:p="http://schemas.microsoft.com/office/2006/metadata/properties" xmlns:ns2="9953b547-20a4-4e0c-a5f5-0648886c01f4" targetNamespace="http://schemas.microsoft.com/office/2006/metadata/properties" ma:root="true" ma:fieldsID="fd7239eaa26c12dec201afd2163482c0" ns2:_="">
    <xsd:import namespace="9953b547-20a4-4e0c-a5f5-0648886c01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53b547-20a4-4e0c-a5f5-0648886c0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EDFC18-7EB1-4BB9-B51F-1683036AC7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53b547-20a4-4e0c-a5f5-0648886c01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7DE1D4-5FD3-464B-8002-AF91FD5DD8B9}">
  <ds:schemaRefs>
    <ds:schemaRef ds:uri="9953b547-20a4-4e0c-a5f5-0648886c01f4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17C4E0-F322-4EDE-B8B4-083B8A9F404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Floor Space Requirements</vt:lpstr>
      <vt:lpstr>Network Bandwidth+Balancing</vt:lpstr>
    </vt:vector>
  </TitlesOfParts>
  <Company>Mohawk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Galton, Simon;Visser, Wayne</dc:creator>
  <cp:lastModifiedBy>Simon Galton</cp:lastModifiedBy>
  <cp:lastPrinted>2017-01-25T15:56:11Z</cp:lastPrinted>
  <dcterms:created xsi:type="dcterms:W3CDTF">2017-01-25T15:39:23Z</dcterms:created>
  <dcterms:modified xsi:type="dcterms:W3CDTF">2018-08-22T14:54:48Z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0x010100875CFDD8B008864099836B99076CDE26</vt:lpwstr>
  </property>
</Properties>
</file>